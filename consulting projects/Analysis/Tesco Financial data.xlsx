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78b31bd2d86ef8/Desktop/consulting projects/"/>
    </mc:Choice>
  </mc:AlternateContent>
  <xr:revisionPtr revIDLastSave="0" documentId="8_{DDC5EDA8-B8B8-4FFC-A07B-DFD7052B3B0A}" xr6:coauthVersionLast="47" xr6:coauthVersionMax="47" xr10:uidLastSave="{00000000-0000-0000-0000-000000000000}"/>
  <bookViews>
    <workbookView xWindow="-110" yWindow="-110" windowWidth="19420" windowHeight="10300" firstSheet="1" activeTab="2" xr2:uid="{1947668C-F240-4A08-BC62-E0F14F5B5628}"/>
  </bookViews>
  <sheets>
    <sheet name="Group performance" sheetId="1" r:id="rId1"/>
    <sheet name="Segemental sales" sheetId="2" r:id="rId2"/>
    <sheet name="Segmnetal op prof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<sst xmlns="http://schemas.openxmlformats.org/spreadsheetml/2006/main" count="52" uniqueCount="47">
  <si>
    <t>Metric</t>
  </si>
  <si>
    <t>FY 2024/25</t>
  </si>
  <si>
    <t>Change</t>
  </si>
  <si>
    <t>Adjusted operating profit</t>
  </si>
  <si>
    <t>Adjusted operating margin</t>
  </si>
  <si>
    <t>–12 bps</t>
  </si>
  <si>
    <t>Statutory operating profit</t>
  </si>
  <si>
    <t>Free cash flow</t>
  </si>
  <si>
    <t>Net debt</t>
  </si>
  <si>
    <t>UK market share</t>
  </si>
  <si>
    <t>+24 bps</t>
  </si>
  <si>
    <t>UK like-for-like sales</t>
  </si>
  <si>
    <t>Save to Invest delivered</t>
  </si>
  <si>
    <t>28 pts</t>
  </si>
  <si>
    <t>+1 pt</t>
  </si>
  <si>
    <t>Group sales (exc. VAT, exc. fuel)</t>
  </si>
  <si>
    <t>Revenue (exc. VAT, inc. fuel)</t>
  </si>
  <si>
    <t>Capex (ongoing)</t>
  </si>
  <si>
    <t>Group NPS (pts)</t>
  </si>
  <si>
    <t>FY 2024/25(m)</t>
  </si>
  <si>
    <t>FY 2025/26(m)</t>
  </si>
  <si>
    <t xml:space="preserve">29 pts </t>
  </si>
  <si>
    <t>Adjusted diluted EPS  (p)</t>
  </si>
  <si>
    <t>Dividend per share    (p)</t>
  </si>
  <si>
    <t>Segment</t>
  </si>
  <si>
    <t>Sales (£m)</t>
  </si>
  <si>
    <t>LFL change</t>
  </si>
  <si>
    <t>Total sales change (actual)</t>
  </si>
  <si>
    <t>UK</t>
  </si>
  <si>
    <t>ROI</t>
  </si>
  <si>
    <t>UK &amp; ROI</t>
  </si>
  <si>
    <t>Booker</t>
  </si>
  <si>
    <t>Central Europe</t>
  </si>
  <si>
    <t>Group</t>
  </si>
  <si>
    <t>Profit (£m)</t>
  </si>
  <si>
    <t>Change (actual)</t>
  </si>
  <si>
    <t>Margin</t>
  </si>
  <si>
    <t>Margin change</t>
  </si>
  <si>
    <t>–15 bps</t>
  </si>
  <si>
    <t>0 bps</t>
  </si>
  <si>
    <t>–10 bps</t>
  </si>
  <si>
    <t>Delivered save to invest</t>
  </si>
  <si>
    <t>Year</t>
  </si>
  <si>
    <t>Save to invest</t>
  </si>
  <si>
    <t>FY 2025/26</t>
  </si>
  <si>
    <t>510 m</t>
  </si>
  <si>
    <t>535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</si>
</sst>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2" applyFont="1"/>
    <xf numFmtId="168" fontId="0" fillId="0" borderId="0" xfId="0" applyNumberFormat="1"/>
    <xf numFmtId="0" fontId="0" fillId="0" borderId="1" xfId="0" applyBorder="1"/>
    <xf numFmtId="0" fontId="0" fillId="0" borderId="0" xfId="0" applyAlignment="1"/>
    <xf numFmtId="0" fontId="2" fillId="0" borderId="1" xfId="0" applyFont="1" applyBorder="1"/>
    <xf numFmtId="168" fontId="2" fillId="0" borderId="1" xfId="1" applyNumberFormat="1" applyFont="1" applyBorder="1"/>
    <xf numFmtId="168" fontId="0" fillId="0" borderId="1" xfId="0" applyNumberFormat="1" applyBorder="1"/>
    <xf numFmtId="10" fontId="0" fillId="0" borderId="1" xfId="0" applyNumberFormat="1" applyBorder="1"/>
    <xf numFmtId="168" fontId="0" fillId="0" borderId="1" xfId="1" applyNumberFormat="1" applyFont="1" applyBorder="1"/>
    <xf numFmtId="10" fontId="0" fillId="0" borderId="1" xfId="2" applyNumberFormat="1" applyFont="1" applyBorder="1"/>
    <xf numFmtId="0" fontId="2" fillId="0" borderId="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Growth vs Operating profit</a:t>
            </a:r>
            <a:endParaRPr lang="en-US" b="1"/>
          </a:p>
        </c:rich>
      </c:tx>
      <c:layout>
        <c:manualLayout>
          <c:xMode val="edge"/>
          <c:yMode val="edge"/>
          <c:x val="0.17369348301673121"/>
          <c:y val="5.2866643607677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performance'!$A$2</c:f>
              <c:strCache>
                <c:ptCount val="1"/>
                <c:pt idx="0">
                  <c:v>Group sales (exc. VAT, exc. fuel)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925337632079971E-17"/>
                  <c:y val="1.8518518518518517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63.6B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517-4A07-8490-95753C125929}"/>
                </c:ext>
              </c:extLst>
            </c:dLbl>
            <c:dLbl>
              <c:idx val="1"/>
              <c:layout>
                <c:manualLayout>
                  <c:x val="0"/>
                  <c:y val="1.8518518518518517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66.5</a:t>
                    </a:r>
                    <a:r>
                      <a:rPr lang="en-US" b="1" baseline="0"/>
                      <a:t> B</a:t>
                    </a:r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517-4A07-8490-95753C125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'Group performance'!$B$2:$C$2</c:f>
              <c:numCache>
                <c:formatCode>_-[$£-809]* #,##0.00_-;\-[$£-809]* #,##0.00_-;_-[$£-809]* "-"??_-;_-@_-</c:formatCode>
                <c:ptCount val="2"/>
                <c:pt idx="0">
                  <c:v>63636</c:v>
                </c:pt>
                <c:pt idx="1">
                  <c:v>66588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7-4A07-8490-95753C125929}"/>
            </c:ext>
          </c:extLst>
        </c:ser>
        <c:ser>
          <c:idx val="1"/>
          <c:order val="1"/>
          <c:tx>
            <c:strRef>
              <c:f>'Group performance'!$A$4</c:f>
              <c:strCache>
                <c:ptCount val="1"/>
                <c:pt idx="0">
                  <c:v>Adjusted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3.12</a:t>
                    </a:r>
                    <a:r>
                      <a:rPr lang="en-US" b="1" baseline="0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517-4A07-8490-95753C1259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3.15B</a:t>
                    </a:r>
                    <a:endParaRPr lang="en-US" b="1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3611111111111"/>
                      <c:h val="6.4745552639253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5517-4A07-8490-95753C125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val>
            <c:numRef>
              <c:f>'Group performance'!$B$4:$C$4</c:f>
              <c:numCache>
                <c:formatCode>_-[$£-809]* #,##0.00_-;\-[$£-809]* #,##0.00_-;_-[$£-809]* "-"??_-;_-@_-</c:formatCode>
                <c:ptCount val="2"/>
                <c:pt idx="0">
                  <c:v>3128</c:v>
                </c:pt>
                <c:pt idx="1">
                  <c:v>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7-4A07-8490-95753C1259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1608927"/>
        <c:axId val="1941367023"/>
      </c:barChart>
      <c:catAx>
        <c:axId val="461608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67023"/>
        <c:crosses val="autoZero"/>
        <c:auto val="1"/>
        <c:lblAlgn val="ctr"/>
        <c:lblOffset val="100"/>
        <c:noMultiLvlLbl val="0"/>
      </c:catAx>
      <c:valAx>
        <c:axId val="194136702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0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Free cash flow</a:t>
            </a:r>
          </a:p>
        </c:rich>
      </c:tx>
      <c:layout>
        <c:manualLayout>
          <c:xMode val="edge"/>
          <c:yMode val="edge"/>
          <c:x val="0.4311734470691163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performance'!$A$9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1.75</a:t>
                    </a:r>
                    <a:r>
                      <a:rPr lang="en-US" baseline="0"/>
                      <a:t> B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5BE-492A-9F22-C922A0D3BA4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1.95B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680664916885396E-2"/>
                      <c:h val="7.863444152814230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65BE-492A-9F22-C922A0D3B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'Group performance'!$B$9:$C$9</c:f>
              <c:numCache>
                <c:formatCode>_-[$£-809]* #,##0.00_-;\-[$£-809]* #,##0.00_-;_-[$£-809]* "-"??_-;_-@_-</c:formatCode>
                <c:ptCount val="2"/>
                <c:pt idx="0">
                  <c:v>1750</c:v>
                </c:pt>
                <c:pt idx="1">
                  <c:v>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E-492A-9F22-C922A0D3BA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5437311"/>
        <c:axId val="1941310383"/>
      </c:barChart>
      <c:catAx>
        <c:axId val="181543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10383"/>
        <c:crosses val="autoZero"/>
        <c:auto val="1"/>
        <c:lblAlgn val="ctr"/>
        <c:lblOffset val="100"/>
        <c:noMultiLvlLbl val="0"/>
      </c:catAx>
      <c:valAx>
        <c:axId val="194131038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3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Segmental</a:t>
            </a:r>
            <a:r>
              <a:rPr lang="en-IN" b="1" baseline="0"/>
              <a:t> revnue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56758530183728"/>
          <c:y val="0.15319444444444447"/>
          <c:w val="0.7133976377952755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49.8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EEF-4AAF-85C1-AED612A321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3.23B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EF-4AAF-85C1-AED612A321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1"/>
                      <a:t>53.05B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EF-4AAF-85C1-AED612A321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b="1"/>
                      <a:t>9.04</a:t>
                    </a:r>
                    <a:r>
                      <a:rPr lang="en-US" b="1" baseline="0"/>
                      <a:t>B</a:t>
                    </a:r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EEF-4AAF-85C1-AED612A3211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4.4B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EEF-4AAF-85C1-AED612A3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'Segemental sales'!$A$2:$A$6</c:f>
              <c:strCache>
                <c:ptCount val="5"/>
                <c:pt idx="0">
                  <c:v>UK</c:v>
                </c:pt>
                <c:pt idx="1">
                  <c:v>ROI</c:v>
                </c:pt>
                <c:pt idx="2">
                  <c:v>UK &amp; ROI</c:v>
                </c:pt>
                <c:pt idx="3">
                  <c:v>Booker</c:v>
                </c:pt>
                <c:pt idx="4">
                  <c:v>Central Europe</c:v>
                </c:pt>
              </c:strCache>
            </c:strRef>
          </c:cat>
          <c:val>
            <c:numRef>
              <c:f>'Segemental sales'!$B$2:$B$6</c:f>
              <c:numCache>
                <c:formatCode>_-[$£-809]* #,##0.00_-;\-[$£-809]* #,##0.00_-;_-[$£-809]* "-"??_-;_-@_-</c:formatCode>
                <c:ptCount val="5"/>
                <c:pt idx="0">
                  <c:v>49819</c:v>
                </c:pt>
                <c:pt idx="1">
                  <c:v>3239</c:v>
                </c:pt>
                <c:pt idx="2">
                  <c:v>53058</c:v>
                </c:pt>
                <c:pt idx="3">
                  <c:v>9040</c:v>
                </c:pt>
                <c:pt idx="4">
                  <c:v>4490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F-4AAF-85C1-AED612A32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9944959"/>
        <c:axId val="1941210063"/>
      </c:barChart>
      <c:catAx>
        <c:axId val="79994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10063"/>
        <c:crosses val="autoZero"/>
        <c:auto val="1"/>
        <c:lblAlgn val="ctr"/>
        <c:lblOffset val="100"/>
        <c:noMultiLvlLbl val="0"/>
      </c:catAx>
      <c:valAx>
        <c:axId val="19412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4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806732</xdr:colOff>
      <xdr:row>5</xdr:row>
      <xdr:rowOff>147259</xdr:rowOff>
    </xdr:from>
    <xdr:to>
      <xdr:col>8</xdr:col>
      <xdr:colOff>574893</xdr:colOff>
      <xdr:row>20</xdr:row>
      <xdr:rowOff>5526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4ECABE-C0C7-3268-16A8-A60054F57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19538</xdr:colOff>
      <xdr:row>6</xdr:row>
      <xdr:rowOff>4340</xdr:rowOff>
    </xdr:from>
    <xdr:to>
      <xdr:col>13</xdr:col>
      <xdr:colOff>597008</xdr:colOff>
      <xdr:row>19</xdr:row>
      <xdr:rowOff>77068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A87A79-F2C4-4A01-14C4-85DBECE08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12700</xdr:rowOff>
    </xdr:from>
    <xdr:to>
      <xdr:col>13</xdr:col>
      <xdr:colOff>231775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4C7E2-7E3B-815F-8340-A9BF426A7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03B2-B096-41C7-AB9C-5143F73F2BDF}">
  <dimension ref="A1:M15"/>
  <sheetViews>
    <sheetView zoomScale="65" workbookViewId="0">
      <selection activeCell="J5" sqref="J5"/>
    </sheetView>
  </sheetViews>
  <sheetFormatPr defaultRowHeight="14.5" x14ac:dyDescent="0.35"/>
  <cols>
    <col min="1" max="1" width="27.54296875" bestFit="1" customWidth="1"/>
    <col min="2" max="2" width="13.08984375" bestFit="1" customWidth="1"/>
    <col min="3" max="3" width="19.6328125" bestFit="1" customWidth="1"/>
    <col min="4" max="4" width="7.90625" bestFit="1" customWidth="1"/>
    <col min="5" max="5" width="37.1796875" bestFit="1" customWidth="1"/>
    <col min="7" max="7" width="10" bestFit="1" customWidth="1"/>
    <col min="8" max="8" width="12.54296875" bestFit="1" customWidth="1"/>
    <col min="11" max="11" width="14.6328125" bestFit="1" customWidth="1"/>
    <col min="12" max="12" width="20" customWidth="1"/>
    <col min="13" max="13" width="12.54296875" bestFit="1" customWidth="1"/>
  </cols>
  <sheetData>
    <row r="1" spans="1:13" x14ac:dyDescent="0.35">
      <c r="A1" s="3" t="s">
        <v>0</v>
      </c>
      <c r="B1" s="3" t="s">
        <v>19</v>
      </c>
      <c r="C1" s="3" t="s">
        <v>20</v>
      </c>
      <c r="D1" s="3" t="s">
        <v>2</v>
      </c>
    </row>
    <row r="2" spans="1:13" x14ac:dyDescent="0.35">
      <c r="A2" s="3" t="s">
        <v>15</v>
      </c>
      <c r="B2" s="9">
        <v>63636</v>
      </c>
      <c r="C2" s="9">
        <v>66588</v>
      </c>
      <c r="D2" s="10">
        <f>(C2-B2)/B2</f>
        <v>4.6388836507637185E-2</v>
      </c>
      <c r="G2" s="11" t="s">
        <v>41</v>
      </c>
      <c r="H2" s="11"/>
    </row>
    <row r="3" spans="1:13" x14ac:dyDescent="0.35">
      <c r="A3" s="3" t="s">
        <v>16</v>
      </c>
      <c r="B3" s="9">
        <v>69916</v>
      </c>
      <c r="C3" s="9">
        <v>72464</v>
      </c>
      <c r="D3" s="10">
        <f>(C3-B3)/B3</f>
        <v>3.6443732478974769E-2</v>
      </c>
      <c r="G3" s="5" t="s">
        <v>42</v>
      </c>
      <c r="H3" s="5" t="s">
        <v>43</v>
      </c>
    </row>
    <row r="4" spans="1:13" x14ac:dyDescent="0.35">
      <c r="A4" s="3" t="s">
        <v>3</v>
      </c>
      <c r="B4" s="9">
        <v>3128</v>
      </c>
      <c r="C4" s="9">
        <v>3152</v>
      </c>
      <c r="D4" s="10">
        <f>(C4-B4)/B4</f>
        <v>7.6726342710997444E-3</v>
      </c>
      <c r="G4" s="5" t="s">
        <v>1</v>
      </c>
      <c r="H4" s="6" t="s">
        <v>45</v>
      </c>
    </row>
    <row r="5" spans="1:13" x14ac:dyDescent="0.35">
      <c r="A5" s="3" t="s">
        <v>4</v>
      </c>
      <c r="B5" s="8">
        <v>4.9000000000000002E-2</v>
      </c>
      <c r="C5" s="8">
        <v>4.2999999999999997E-2</v>
      </c>
      <c r="D5" s="10">
        <f>(C5-B5)/B5</f>
        <v>-0.12244897959183684</v>
      </c>
      <c r="G5" s="5" t="s">
        <v>44</v>
      </c>
      <c r="H5" s="6" t="s">
        <v>46</v>
      </c>
    </row>
    <row r="6" spans="1:13" x14ac:dyDescent="0.35">
      <c r="A6" s="3" t="s">
        <v>6</v>
      </c>
      <c r="B6" s="7">
        <v>2711</v>
      </c>
      <c r="C6" s="7">
        <v>2985</v>
      </c>
      <c r="D6" s="10">
        <f>(C6-B6)/B6</f>
        <v>0.10106971597196607</v>
      </c>
    </row>
    <row r="7" spans="1:13" x14ac:dyDescent="0.35">
      <c r="A7" s="3" t="s">
        <v>22</v>
      </c>
      <c r="B7" s="3">
        <v>27.4</v>
      </c>
      <c r="C7" s="3">
        <v>29</v>
      </c>
      <c r="D7" s="10">
        <f>(C7-B7)/B7</f>
        <v>5.8394160583941659E-2</v>
      </c>
    </row>
    <row r="8" spans="1:13" x14ac:dyDescent="0.35">
      <c r="A8" s="3" t="s">
        <v>23</v>
      </c>
      <c r="B8" s="3">
        <v>13.7</v>
      </c>
      <c r="C8" s="3">
        <v>14.5</v>
      </c>
      <c r="D8" s="10">
        <f>(C8-B8)/B8</f>
        <v>5.8394160583941659E-2</v>
      </c>
    </row>
    <row r="9" spans="1:13" x14ac:dyDescent="0.35">
      <c r="A9" s="3" t="s">
        <v>7</v>
      </c>
      <c r="B9" s="7">
        <v>1750</v>
      </c>
      <c r="C9" s="7">
        <v>1957</v>
      </c>
      <c r="D9" s="10">
        <f>(C9-B9)/B9</f>
        <v>0.11828571428571429</v>
      </c>
      <c r="M9" s="4"/>
    </row>
    <row r="10" spans="1:13" x14ac:dyDescent="0.35">
      <c r="A10" s="3" t="s">
        <v>17</v>
      </c>
      <c r="B10" s="7">
        <v>1457</v>
      </c>
      <c r="C10" s="7">
        <v>1511</v>
      </c>
      <c r="D10" s="10">
        <f>(C10-B10)/B10</f>
        <v>3.7062457103637612E-2</v>
      </c>
    </row>
    <row r="11" spans="1:13" x14ac:dyDescent="0.35">
      <c r="A11" s="3" t="s">
        <v>8</v>
      </c>
      <c r="B11" s="7">
        <v>-9454</v>
      </c>
      <c r="C11" s="7">
        <v>-10563</v>
      </c>
      <c r="D11" s="10">
        <f>-(C11-B11)/B11</f>
        <v>-0.1173048445102602</v>
      </c>
    </row>
    <row r="12" spans="1:13" x14ac:dyDescent="0.35">
      <c r="A12" s="3" t="s">
        <v>9</v>
      </c>
      <c r="B12" s="8">
        <v>0.28299999999999997</v>
      </c>
      <c r="C12" s="8">
        <v>0.28499999999999998</v>
      </c>
      <c r="D12" s="3" t="s">
        <v>10</v>
      </c>
      <c r="E12" s="1"/>
    </row>
    <row r="13" spans="1:13" x14ac:dyDescent="0.35">
      <c r="A13" s="3" t="s">
        <v>11</v>
      </c>
      <c r="B13" s="3"/>
      <c r="C13" s="8">
        <v>4.2000000000000003E-2</v>
      </c>
      <c r="D13" s="3"/>
    </row>
    <row r="14" spans="1:13" x14ac:dyDescent="0.35">
      <c r="A14" s="3" t="s">
        <v>12</v>
      </c>
      <c r="B14" s="9">
        <v>510</v>
      </c>
      <c r="C14" s="9">
        <v>535</v>
      </c>
      <c r="D14" s="3"/>
    </row>
    <row r="15" spans="1:13" x14ac:dyDescent="0.35">
      <c r="A15" s="3" t="s">
        <v>18</v>
      </c>
      <c r="B15" s="3" t="s">
        <v>13</v>
      </c>
      <c r="C15" s="3" t="s">
        <v>21</v>
      </c>
      <c r="D15" s="3" t="s">
        <v>14</v>
      </c>
    </row>
  </sheetData>
  <mergeCells count="1"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5947-01BA-40D0-B521-72692C976E01}">
  <dimension ref="A1:D7"/>
  <sheetViews>
    <sheetView workbookViewId="0">
      <selection activeCell="D8" sqref="D8"/>
    </sheetView>
  </sheetViews>
  <sheetFormatPr defaultRowHeight="14.5" x14ac:dyDescent="0.35"/>
  <cols>
    <col min="2" max="2" width="14.90625" customWidth="1"/>
    <col min="3" max="3" width="9.7265625" bestFit="1" customWidth="1"/>
  </cols>
  <sheetData>
    <row r="1" spans="1:4" x14ac:dyDescent="0.35">
      <c r="A1" s="3" t="s">
        <v>24</v>
      </c>
      <c r="B1" s="3" t="s">
        <v>25</v>
      </c>
      <c r="C1" s="3" t="s">
        <v>26</v>
      </c>
      <c r="D1" s="3" t="s">
        <v>27</v>
      </c>
    </row>
    <row r="2" spans="1:4" x14ac:dyDescent="0.35">
      <c r="A2" s="3" t="s">
        <v>28</v>
      </c>
      <c r="B2" s="7">
        <v>49819</v>
      </c>
      <c r="C2" s="8">
        <v>4.2000000000000003E-2</v>
      </c>
      <c r="D2" s="8">
        <v>4.9000000000000002E-2</v>
      </c>
    </row>
    <row r="3" spans="1:4" x14ac:dyDescent="0.35">
      <c r="A3" s="3" t="s">
        <v>29</v>
      </c>
      <c r="B3" s="7">
        <v>3239</v>
      </c>
      <c r="C3" s="8">
        <v>4.5999999999999999E-2</v>
      </c>
      <c r="D3" s="8">
        <v>8.8999999999999996E-2</v>
      </c>
    </row>
    <row r="4" spans="1:4" x14ac:dyDescent="0.35">
      <c r="A4" s="3" t="s">
        <v>30</v>
      </c>
      <c r="B4" s="7">
        <v>53058</v>
      </c>
      <c r="C4" s="8">
        <v>4.2000000000000003E-2</v>
      </c>
      <c r="D4" s="8">
        <v>5.0999999999999997E-2</v>
      </c>
    </row>
    <row r="5" spans="1:4" x14ac:dyDescent="0.35">
      <c r="A5" s="3" t="s">
        <v>31</v>
      </c>
      <c r="B5" s="7">
        <v>9040</v>
      </c>
      <c r="C5" s="8">
        <v>2E-3</v>
      </c>
      <c r="D5" s="8">
        <v>6.0000000000000001E-3</v>
      </c>
    </row>
    <row r="6" spans="1:4" x14ac:dyDescent="0.35">
      <c r="A6" s="3" t="s">
        <v>32</v>
      </c>
      <c r="B6" s="7">
        <v>4490</v>
      </c>
      <c r="C6" s="8">
        <v>2.1999999999999999E-2</v>
      </c>
      <c r="D6" s="8">
        <v>7.1999999999999995E-2</v>
      </c>
    </row>
    <row r="7" spans="1:4" x14ac:dyDescent="0.35">
      <c r="A7" s="3" t="s">
        <v>33</v>
      </c>
      <c r="B7" s="7">
        <v>66588</v>
      </c>
      <c r="C7" s="8">
        <v>3.5000000000000003E-2</v>
      </c>
      <c r="D7" s="8">
        <v>4.5999999999999999E-2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0D95-57AA-4E47-8190-5F89DDBF453E}">
  <dimension ref="A1:E6"/>
  <sheetViews>
    <sheetView tabSelected="1" workbookViewId="0">
      <selection activeCell="C8" sqref="C8"/>
    </sheetView>
  </sheetViews>
  <sheetFormatPr defaultRowHeight="14.5" x14ac:dyDescent="0.35"/>
  <cols>
    <col min="1" max="1" width="13.36328125" bestFit="1" customWidth="1"/>
    <col min="2" max="2" width="13.81640625" customWidth="1"/>
    <col min="3" max="3" width="15.7265625" customWidth="1"/>
    <col min="4" max="4" width="10.26953125" customWidth="1"/>
    <col min="5" max="5" width="13.1796875" bestFit="1" customWidth="1"/>
  </cols>
  <sheetData>
    <row r="1" spans="1:5" x14ac:dyDescent="0.35">
      <c r="A1" s="3" t="s">
        <v>24</v>
      </c>
      <c r="B1" s="3" t="s">
        <v>34</v>
      </c>
      <c r="C1" s="3" t="s">
        <v>35</v>
      </c>
      <c r="D1" s="3" t="s">
        <v>36</v>
      </c>
      <c r="E1" s="3" t="s">
        <v>37</v>
      </c>
    </row>
    <row r="2" spans="1:5" x14ac:dyDescent="0.35">
      <c r="A2" s="3" t="s">
        <v>30</v>
      </c>
      <c r="B2" s="7">
        <v>2745</v>
      </c>
      <c r="C2" s="8">
        <v>7.0000000000000001E-3</v>
      </c>
      <c r="D2" s="8">
        <v>4.7E-2</v>
      </c>
      <c r="E2" s="3" t="s">
        <v>38</v>
      </c>
    </row>
    <row r="3" spans="1:5" x14ac:dyDescent="0.35">
      <c r="A3" s="3" t="s">
        <v>31</v>
      </c>
      <c r="B3" s="7">
        <v>292</v>
      </c>
      <c r="C3" s="8">
        <v>7.0000000000000001E-3</v>
      </c>
      <c r="D3" s="8">
        <v>3.2000000000000001E-2</v>
      </c>
      <c r="E3" s="3" t="s">
        <v>39</v>
      </c>
    </row>
    <row r="4" spans="1:5" x14ac:dyDescent="0.35">
      <c r="A4" s="3" t="s">
        <v>32</v>
      </c>
      <c r="B4" s="7">
        <v>115</v>
      </c>
      <c r="C4" s="8">
        <v>2.7E-2</v>
      </c>
      <c r="D4" s="8">
        <v>2.5000000000000001E-2</v>
      </c>
      <c r="E4" s="3" t="s">
        <v>40</v>
      </c>
    </row>
    <row r="5" spans="1:5" x14ac:dyDescent="0.35">
      <c r="A5" s="3" t="s">
        <v>33</v>
      </c>
      <c r="B5" s="7">
        <v>3152</v>
      </c>
      <c r="C5" s="8">
        <v>8.0000000000000002E-3</v>
      </c>
      <c r="D5" s="8">
        <v>4.2999999999999997E-2</v>
      </c>
      <c r="E5" s="3" t="s">
        <v>5</v>
      </c>
    </row>
    <row r="6" spans="1:5" x14ac:dyDescent="0.35"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performance</vt:lpstr>
      <vt:lpstr>Segemental sales</vt:lpstr>
      <vt:lpstr>Segmnetal op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Kanna.</dc:creator>
  <cp:lastModifiedBy>Sanjai Kanna.</cp:lastModifiedBy>
  <dcterms:created xsi:type="dcterms:W3CDTF">2026-10-23T03:31:18Z</dcterms:created>
  <dcterms:modified xsi:type="dcterms:W3CDTF">2026-10-23T04:13:05Z</dcterms:modified>
</cp:coreProperties>
</file>